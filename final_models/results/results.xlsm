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uyzamberg/PycharmProjects/git/AnomalyDiffusion/final_models/"/>
    </mc:Choice>
  </mc:AlternateContent>
  <xr:revisionPtr revIDLastSave="0" documentId="13_ncr:40009_{DAD258FD-6C13-E948-A14C-80098F407D01}" xr6:coauthVersionLast="47" xr6:coauthVersionMax="47" xr10:uidLastSave="{00000000-0000-0000-0000-000000000000}"/>
  <bookViews>
    <workbookView xWindow="9600" yWindow="21600" windowWidth="28800" windowHeight="18000" activeTab="1"/>
  </bookViews>
  <sheets>
    <sheet name="results" sheetId="1" r:id="rId1"/>
    <sheet name="results_new" sheetId="4" r:id="rId2"/>
    <sheet name="results_old" sheetId="3" r:id="rId3"/>
  </sheets>
  <calcPr calcId="191029"/>
</workbook>
</file>

<file path=xl/calcChain.xml><?xml version="1.0" encoding="utf-8"?>
<calcChain xmlns="http://schemas.openxmlformats.org/spreadsheetml/2006/main">
  <c r="K28" i="4" l="1"/>
  <c r="K32" i="4"/>
  <c r="K31" i="4"/>
  <c r="K30" i="4"/>
  <c r="K29" i="4"/>
  <c r="K2" i="4"/>
  <c r="K3" i="4"/>
  <c r="K4" i="4"/>
  <c r="K5" i="4"/>
  <c r="K6" i="4"/>
  <c r="K7" i="4"/>
  <c r="K24" i="4"/>
  <c r="K25" i="4"/>
  <c r="K26" i="4"/>
  <c r="K23" i="4"/>
  <c r="K19" i="4"/>
  <c r="K20" i="4"/>
  <c r="K21" i="4"/>
  <c r="K22" i="4"/>
  <c r="K18" i="4"/>
  <c r="J27" i="4"/>
  <c r="I27" i="4"/>
  <c r="H27" i="4"/>
  <c r="G27" i="4"/>
  <c r="F27" i="4"/>
  <c r="E27" i="4"/>
  <c r="D27" i="4"/>
  <c r="C27" i="4"/>
  <c r="K27" i="4" s="1"/>
  <c r="B27" i="4"/>
  <c r="I17" i="4"/>
  <c r="C17" i="4"/>
  <c r="K12" i="4"/>
  <c r="D17" i="4"/>
  <c r="E17" i="4"/>
  <c r="F17" i="4"/>
  <c r="G17" i="4"/>
  <c r="H17" i="4"/>
  <c r="J17" i="4"/>
  <c r="B17" i="4"/>
  <c r="K16" i="4"/>
  <c r="K15" i="4"/>
  <c r="K14" i="4"/>
  <c r="K13" i="4"/>
  <c r="K11" i="4"/>
  <c r="K10" i="4"/>
  <c r="K9" i="4"/>
  <c r="K8" i="4"/>
  <c r="K11" i="1"/>
  <c r="K15" i="1"/>
  <c r="K22" i="1"/>
  <c r="K21" i="1"/>
  <c r="K20" i="1"/>
  <c r="K18" i="1"/>
  <c r="K17" i="1"/>
  <c r="K16" i="1"/>
  <c r="K19" i="3"/>
  <c r="K18" i="3"/>
  <c r="K17" i="3"/>
  <c r="K16" i="3"/>
  <c r="K15" i="3"/>
  <c r="K14" i="3"/>
  <c r="K7" i="3"/>
  <c r="K6" i="3"/>
  <c r="K5" i="3"/>
  <c r="K4" i="3"/>
  <c r="K3" i="3"/>
  <c r="K2" i="3"/>
  <c r="K2" i="1"/>
  <c r="K3" i="1"/>
  <c r="K4" i="1"/>
  <c r="K5" i="1"/>
  <c r="K6" i="1"/>
  <c r="K7" i="1"/>
  <c r="K8" i="1"/>
  <c r="K9" i="1"/>
  <c r="K10" i="1"/>
  <c r="K12" i="1"/>
  <c r="K13" i="1"/>
  <c r="K14" i="1"/>
  <c r="K17" i="4" l="1"/>
</calcChain>
</file>

<file path=xl/sharedStrings.xml><?xml version="1.0" encoding="utf-8"?>
<sst xmlns="http://schemas.openxmlformats.org/spreadsheetml/2006/main" count="130" uniqueCount="52">
  <si>
    <t>AUC</t>
  </si>
  <si>
    <t>pen-global</t>
  </si>
  <si>
    <t>breast-cancer</t>
  </si>
  <si>
    <t>pen-local</t>
  </si>
  <si>
    <t>shuttle</t>
  </si>
  <si>
    <t>thyroid</t>
  </si>
  <si>
    <t>satellite</t>
  </si>
  <si>
    <t>aloi</t>
  </si>
  <si>
    <t>speech</t>
  </si>
  <si>
    <t>letter</t>
  </si>
  <si>
    <t>average</t>
  </si>
  <si>
    <t>average knn</t>
  </si>
  <si>
    <t>average knn auc</t>
  </si>
  <si>
    <t>average lof</t>
  </si>
  <si>
    <t>average lof auc</t>
  </si>
  <si>
    <t>iforest</t>
  </si>
  <si>
    <t>loss</t>
  </si>
  <si>
    <t>loss vs features</t>
  </si>
  <si>
    <t>KNN (k=10-15) vs features</t>
  </si>
  <si>
    <t>LOF (k=10-15) vs features</t>
  </si>
  <si>
    <t>best possible - loss vs features</t>
  </si>
  <si>
    <t>best possible - KNN vs features</t>
  </si>
  <si>
    <t>best possible - LOF vs features</t>
  </si>
  <si>
    <t>loss vs features+LOF (k=10-15)+KNN (mean over 10 iterations, 3 points, 200 lines)</t>
  </si>
  <si>
    <t>KNN vs features + loss + LOF</t>
  </si>
  <si>
    <t>LOF (k=10-15) vs features + loss + KNN</t>
  </si>
  <si>
    <t>best possible - loss vs all</t>
  </si>
  <si>
    <t>best possible - KNN vs all</t>
  </si>
  <si>
    <t>best possible - LOF vs all</t>
  </si>
  <si>
    <t xml:space="preserve">KNN vs features + loss + LOF </t>
  </si>
  <si>
    <t>loss vs features+LOF (k=10-15)+KNN</t>
  </si>
  <si>
    <t>loss vs features+LOF (k=10-50)+KNN + Isolation</t>
  </si>
  <si>
    <t>KNN vs features + loss + LOF + Isolation</t>
  </si>
  <si>
    <t>LOF (k=10-50) vs features + loss + KNN + Isolation</t>
  </si>
  <si>
    <t>Isolation vs features+loss+LOF+KNN</t>
  </si>
  <si>
    <t>best possible - Isolation vs all</t>
  </si>
  <si>
    <t>Details</t>
  </si>
  <si>
    <t>loss vs features+LOF+KNN+iforest</t>
  </si>
  <si>
    <t>KNN vs features+loss+LOF+iforest</t>
  </si>
  <si>
    <t>LOF vs features+loss+KNN+iforest</t>
  </si>
  <si>
    <t>iforest vs features+loss+LOF+KNN</t>
  </si>
  <si>
    <t>best possible - iforest vs all</t>
  </si>
  <si>
    <t>LOF: K=10-15, KNN: K=0-50, 3 points per line, 200 lines in total, choosing method - minimum mse/std(mse)</t>
  </si>
  <si>
    <t>minimum zscore from all methods</t>
  </si>
  <si>
    <t>minimum mse/std(mse) from all methods</t>
  </si>
  <si>
    <t>best possible of all methods</t>
  </si>
  <si>
    <t>LOF: K=10-15, KNN: K=0-50, 3 points per line, 200 lines in total, choosing method - minimum sum absolute zscore</t>
  </si>
  <si>
    <t>loss vs features+LOF+KNN+iforest - 5 runs</t>
  </si>
  <si>
    <t>KNN vs features+loss+LOF+iforest - 5 runs</t>
  </si>
  <si>
    <t>LOF vs features+loss+KNN+iforest - 5 runs</t>
  </si>
  <si>
    <t>iforest vs features+loss+LOF+KNN - 5 runs</t>
  </si>
  <si>
    <t>minimum zscore from all methods - 5 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</si>
</sst>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0.000"/>
  </numFmts>
  <fonts count="19" x14ac:knownFonts="1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indexed="5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5"/>
      <color indexed="54"/>
      <name val="Calibri"/>
      <family val="2"/>
      <scheme val="minor"/>
    </font>
    <font>
      <b/>
      <sz val="13"/>
      <color indexed="54"/>
      <name val="Calibri"/>
      <family val="2"/>
      <scheme val="minor"/>
    </font>
    <font>
      <b/>
      <sz val="11"/>
      <color indexed="54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indexed="52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8"/>
      <color indexed="54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15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6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22" borderId="0" applyNumberFormat="0" applyBorder="0" applyAlignment="0" applyProtection="0"/>
    <xf numFmtId="0" fontId="3" fillId="12" borderId="0" applyNumberFormat="0" applyBorder="0" applyAlignment="0" applyProtection="0"/>
    <xf numFmtId="0" fontId="3" fillId="23" borderId="0" applyNumberFormat="0" applyBorder="0" applyAlignment="0" applyProtection="0"/>
    <xf numFmtId="0" fontId="3" fillId="9" borderId="0" applyNumberFormat="0" applyBorder="0" applyAlignment="0" applyProtection="0"/>
    <xf numFmtId="0" fontId="4" fillId="13" borderId="0" applyNumberFormat="0" applyBorder="0" applyAlignment="0" applyProtection="0"/>
    <xf numFmtId="0" fontId="5" fillId="3" borderId="6" applyNumberFormat="0" applyAlignment="0" applyProtection="0"/>
    <xf numFmtId="0" fontId="6" fillId="24" borderId="7" applyNumberFormat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0" borderId="1" applyNumberFormat="0" applyFill="0" applyAlignment="0" applyProtection="0"/>
    <xf numFmtId="0" fontId="10" fillId="0" borderId="8" applyNumberFormat="0" applyFill="0" applyAlignment="0" applyProtection="0"/>
    <xf numFmtId="0" fontId="11" fillId="0" borderId="2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6" applyNumberFormat="0" applyAlignment="0" applyProtection="0"/>
    <xf numFmtId="0" fontId="13" fillId="0" borderId="3" applyNumberFormat="0" applyFill="0" applyAlignment="0" applyProtection="0"/>
    <xf numFmtId="0" fontId="14" fillId="25" borderId="0" applyNumberFormat="0" applyBorder="0" applyAlignment="0" applyProtection="0"/>
    <xf numFmtId="0" fontId="1" fillId="26" borderId="9" applyNumberFormat="0" applyFont="0" applyAlignment="0" applyProtection="0"/>
    <xf numFmtId="0" fontId="15" fillId="3" borderId="10" applyNumberFormat="0" applyAlignment="0" applyProtection="0"/>
    <xf numFmtId="0" fontId="16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8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5" xfId="0" applyBorder="1"/>
    <xf numFmtId="0" fontId="0" fillId="14" borderId="5" xfId="0" applyFill="1" applyBorder="1"/>
    <xf numFmtId="170" fontId="0" fillId="14" borderId="5" xfId="0" applyNumberFormat="1" applyFill="1" applyBorder="1"/>
    <xf numFmtId="0" fontId="0" fillId="27" borderId="5" xfId="0" applyFill="1" applyBorder="1"/>
    <xf numFmtId="170" fontId="0" fillId="27" borderId="5" xfId="0" applyNumberFormat="1" applyFill="1" applyBorder="1"/>
    <xf numFmtId="0" fontId="0" fillId="28" borderId="5" xfId="0" applyFill="1" applyBorder="1"/>
    <xf numFmtId="170" fontId="0" fillId="28" borderId="5" xfId="0" applyNumberFormat="1" applyFill="1" applyBorder="1"/>
    <xf numFmtId="0" fontId="0" fillId="29" borderId="5" xfId="0" applyFill="1" applyBorder="1"/>
    <xf numFmtId="170" fontId="0" fillId="29" borderId="5" xfId="0" applyNumberFormat="1" applyFill="1" applyBorder="1"/>
    <xf numFmtId="0" fontId="0" fillId="30" borderId="5" xfId="0" applyFill="1" applyBorder="1"/>
    <xf numFmtId="170" fontId="0" fillId="30" borderId="5" xfId="0" applyNumberFormat="1" applyFill="1" applyBorder="1"/>
    <xf numFmtId="0" fontId="17" fillId="0" borderId="5" xfId="0" applyFont="1" applyBorder="1"/>
    <xf numFmtId="0" fontId="0" fillId="31" borderId="5" xfId="0" applyFill="1" applyBorder="1"/>
    <xf numFmtId="170" fontId="0" fillId="31" borderId="5" xfId="0" applyNumberFormat="1" applyFill="1" applyBorder="1"/>
    <xf numFmtId="0" fontId="0" fillId="32" borderId="5" xfId="0" applyFill="1" applyBorder="1"/>
    <xf numFmtId="170" fontId="0" fillId="32" borderId="5" xfId="0" applyNumberFormat="1" applyFill="1" applyBorder="1"/>
    <xf numFmtId="0" fontId="0" fillId="32" borderId="11" xfId="0" applyFill="1" applyBorder="1"/>
    <xf numFmtId="0" fontId="17" fillId="0" borderId="5" xfId="0" applyFont="1" applyFill="1" applyBorder="1"/>
    <xf numFmtId="0" fontId="0" fillId="27" borderId="11" xfId="0" applyFill="1" applyBorder="1"/>
    <xf numFmtId="0" fontId="0" fillId="33" borderId="5" xfId="0" applyFill="1" applyBorder="1"/>
    <xf numFmtId="170" fontId="0" fillId="33" borderId="5" xfId="0" applyNumberFormat="1" applyFill="1" applyBorder="1"/>
    <xf numFmtId="0" fontId="0" fillId="33" borderId="0" xfId="0" applyFill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sqref="A1:K23"/>
    </sheetView>
  </sheetViews>
  <sheetFormatPr baseColWidth="10" defaultRowHeight="16" x14ac:dyDescent="0.2"/>
  <cols>
    <col min="1" max="1" width="70" bestFit="1" customWidth="1"/>
    <col min="2" max="256" width="13.1640625" customWidth="1"/>
  </cols>
  <sheetData>
    <row r="1" spans="1:11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</row>
    <row r="2" spans="1:11" x14ac:dyDescent="0.2">
      <c r="A2" s="2" t="s">
        <v>11</v>
      </c>
      <c r="B2" s="3">
        <v>0.98618451553082898</v>
      </c>
      <c r="C2" s="3">
        <v>0.97731092436974698</v>
      </c>
      <c r="D2" s="3">
        <v>0.98470000000000002</v>
      </c>
      <c r="E2" s="3">
        <v>0.94640000000000002</v>
      </c>
      <c r="F2" s="3">
        <v>0.6018</v>
      </c>
      <c r="G2" s="3">
        <v>0.97099999999999997</v>
      </c>
      <c r="H2" s="3">
        <v>0.65920000000000001</v>
      </c>
      <c r="I2" s="3">
        <v>0.50790000000000002</v>
      </c>
      <c r="J2" s="3">
        <v>0.88339999999999996</v>
      </c>
      <c r="K2" s="3">
        <f t="shared" ref="K2:K7" si="0">AVERAGE(B2:J2)</f>
        <v>0.83532171554450851</v>
      </c>
    </row>
    <row r="3" spans="1:11" x14ac:dyDescent="0.2">
      <c r="A3" s="2" t="s">
        <v>12</v>
      </c>
      <c r="B3" s="3">
        <v>0.96867452590679204</v>
      </c>
      <c r="C3" s="3">
        <v>0.97659063625450104</v>
      </c>
      <c r="D3" s="3">
        <v>0.9829</v>
      </c>
      <c r="E3" s="3">
        <v>0.93010000000000004</v>
      </c>
      <c r="F3" s="3">
        <v>0.60489999999999999</v>
      </c>
      <c r="G3" s="3">
        <v>0.96740000000000004</v>
      </c>
      <c r="H3" s="3">
        <v>0.66400000000000003</v>
      </c>
      <c r="I3" s="3">
        <v>0.50880000000000003</v>
      </c>
      <c r="J3" s="3">
        <v>0.87819999999999998</v>
      </c>
      <c r="K3" s="3">
        <f t="shared" si="0"/>
        <v>0.83128501801792143</v>
      </c>
    </row>
    <row r="4" spans="1:11" x14ac:dyDescent="0.2">
      <c r="A4" s="2" t="s">
        <v>13</v>
      </c>
      <c r="B4" s="3">
        <v>0.69890279709473002</v>
      </c>
      <c r="C4" s="3">
        <v>0.97703081232492905</v>
      </c>
      <c r="D4" s="3">
        <v>0.98899999999999999</v>
      </c>
      <c r="E4" s="3">
        <v>0.5323</v>
      </c>
      <c r="F4" s="3">
        <v>0.67410000000000003</v>
      </c>
      <c r="G4" s="3">
        <v>0.72570000000000001</v>
      </c>
      <c r="H4" s="3">
        <v>0.78010000000000002</v>
      </c>
      <c r="I4" s="3">
        <v>0.53069999999999995</v>
      </c>
      <c r="J4" s="3">
        <v>0.90569999999999995</v>
      </c>
      <c r="K4" s="3">
        <f t="shared" si="0"/>
        <v>0.75705928993551774</v>
      </c>
    </row>
    <row r="5" spans="1:11" x14ac:dyDescent="0.2">
      <c r="A5" s="2" t="s">
        <v>14</v>
      </c>
      <c r="B5" s="3">
        <v>0.68462679647658697</v>
      </c>
      <c r="C5" s="3">
        <v>0.97635854341736705</v>
      </c>
      <c r="D5" s="3">
        <v>0.98880000000000001</v>
      </c>
      <c r="E5" s="3">
        <v>0.52180000000000004</v>
      </c>
      <c r="F5" s="3">
        <v>0.67520000000000002</v>
      </c>
      <c r="G5" s="3">
        <v>0.72409999999999997</v>
      </c>
      <c r="H5" s="3">
        <v>0.7782</v>
      </c>
      <c r="I5" s="3">
        <v>0.53090000000000004</v>
      </c>
      <c r="J5" s="3">
        <v>0.90390000000000004</v>
      </c>
      <c r="K5" s="3">
        <f t="shared" si="0"/>
        <v>0.75376503776599491</v>
      </c>
    </row>
    <row r="6" spans="1:11" x14ac:dyDescent="0.2">
      <c r="A6" s="2" t="s">
        <v>15</v>
      </c>
      <c r="B6" s="3">
        <v>0.92770823674856995</v>
      </c>
      <c r="C6" s="3">
        <v>0.97450980392156805</v>
      </c>
      <c r="D6" s="3">
        <v>0.78200000000000003</v>
      </c>
      <c r="E6" s="3">
        <v>0.99750000000000005</v>
      </c>
      <c r="F6" s="3">
        <v>0.63390000000000002</v>
      </c>
      <c r="G6" s="3">
        <v>0.9446</v>
      </c>
      <c r="H6" s="3">
        <v>0.53810000000000002</v>
      </c>
      <c r="I6" s="3">
        <v>0.45200000000000001</v>
      </c>
      <c r="J6" s="3">
        <v>0.64300000000000002</v>
      </c>
      <c r="K6" s="3">
        <f t="shared" si="0"/>
        <v>0.76592422674112648</v>
      </c>
    </row>
    <row r="7" spans="1:11" x14ac:dyDescent="0.2">
      <c r="A7" s="2" t="s">
        <v>16</v>
      </c>
      <c r="B7" s="3">
        <v>0.95056405501468</v>
      </c>
      <c r="C7" s="3">
        <v>0.96078431372549</v>
      </c>
      <c r="D7" s="3">
        <v>0.94965743223115795</v>
      </c>
      <c r="E7" s="3">
        <v>0.98949755984508203</v>
      </c>
      <c r="F7" s="3">
        <v>0.54151455145514504</v>
      </c>
      <c r="G7" s="3">
        <v>0.96435157545605299</v>
      </c>
      <c r="H7" s="3">
        <v>0.53842232528825296</v>
      </c>
      <c r="I7" s="3">
        <v>0.46290559638213602</v>
      </c>
      <c r="J7" s="3">
        <v>0.92032000000000003</v>
      </c>
      <c r="K7" s="3">
        <f t="shared" si="0"/>
        <v>0.80866860104422189</v>
      </c>
    </row>
    <row r="8" spans="1:11" x14ac:dyDescent="0.2">
      <c r="A8" s="6" t="s">
        <v>30</v>
      </c>
      <c r="B8" s="7">
        <v>0.88666357595425704</v>
      </c>
      <c r="C8" s="7">
        <v>0.98095238095238002</v>
      </c>
      <c r="D8" s="7">
        <v>0.98882931188561196</v>
      </c>
      <c r="E8" s="7">
        <v>0.99654931423516802</v>
      </c>
      <c r="F8" s="7">
        <v>0.98640324032403204</v>
      </c>
      <c r="G8" s="7">
        <v>0.96398275290215496</v>
      </c>
      <c r="H8" s="7">
        <v>0.735391516903113</v>
      </c>
      <c r="I8" s="7">
        <v>0.67148445449406402</v>
      </c>
      <c r="J8" s="7">
        <v>0.91202000000000005</v>
      </c>
      <c r="K8" s="7">
        <f t="shared" ref="K8:K14" si="1">AVERAGE(B8:J8)</f>
        <v>0.90247517196119786</v>
      </c>
    </row>
    <row r="9" spans="1:11" x14ac:dyDescent="0.2">
      <c r="A9" s="6" t="s">
        <v>29</v>
      </c>
      <c r="B9" s="7">
        <v>0.92843455416473497</v>
      </c>
      <c r="C9" s="7">
        <v>0.97983193277310898</v>
      </c>
      <c r="D9" s="7">
        <v>0.98875484063151597</v>
      </c>
      <c r="E9" s="7">
        <v>0.69224240058116304</v>
      </c>
      <c r="F9" s="7">
        <v>0.98056765676567603</v>
      </c>
      <c r="G9" s="7">
        <v>0.96154693200663299</v>
      </c>
      <c r="H9" s="7">
        <v>0.72902393345091598</v>
      </c>
      <c r="I9" s="7">
        <v>0.74828264556246404</v>
      </c>
      <c r="J9" s="7">
        <v>0.85974666666666599</v>
      </c>
      <c r="K9" s="7">
        <f t="shared" si="1"/>
        <v>0.87427017362254211</v>
      </c>
    </row>
    <row r="10" spans="1:11" x14ac:dyDescent="0.2">
      <c r="A10" s="6" t="s">
        <v>25</v>
      </c>
      <c r="B10" s="7">
        <v>0.65418018853345705</v>
      </c>
      <c r="C10" s="7">
        <v>0.93025210084033605</v>
      </c>
      <c r="D10" s="7">
        <v>0.98905272564789903</v>
      </c>
      <c r="E10" s="7">
        <v>0.53545034207540998</v>
      </c>
      <c r="F10" s="7">
        <v>0.97686288628862805</v>
      </c>
      <c r="G10" s="7">
        <v>0.95693001658374799</v>
      </c>
      <c r="H10" s="7">
        <v>0.633517627726501</v>
      </c>
      <c r="I10" s="7">
        <v>0.73306953080836601</v>
      </c>
      <c r="J10" s="7">
        <v>0.78573333333333295</v>
      </c>
      <c r="K10" s="7">
        <f t="shared" si="1"/>
        <v>0.79944986131529749</v>
      </c>
    </row>
    <row r="11" spans="1:11" x14ac:dyDescent="0.2">
      <c r="A11" s="6" t="s">
        <v>34</v>
      </c>
      <c r="B11" s="7">
        <v>0.86213877298717301</v>
      </c>
      <c r="C11" s="7">
        <v>0.94509803921568603</v>
      </c>
      <c r="D11" s="7">
        <v>0.98650580875781901</v>
      </c>
      <c r="E11" s="7">
        <v>0.99772072151392799</v>
      </c>
      <c r="F11" s="7">
        <v>0.98587998799879895</v>
      </c>
      <c r="G11" s="7">
        <v>0.94264676616915399</v>
      </c>
      <c r="H11" s="7">
        <v>0.74876458333469997</v>
      </c>
      <c r="I11" s="7">
        <v>0.69897569248162805</v>
      </c>
      <c r="J11" s="7">
        <v>0.85438666666666596</v>
      </c>
      <c r="K11" s="7">
        <f>AVERAGE(B11:J11)</f>
        <v>0.89134633768061711</v>
      </c>
    </row>
    <row r="12" spans="1:11" x14ac:dyDescent="0.2">
      <c r="A12" s="4" t="s">
        <v>26</v>
      </c>
      <c r="B12" s="5">
        <v>0.99329315407201302</v>
      </c>
      <c r="C12" s="5">
        <v>0.98963585434173595</v>
      </c>
      <c r="D12" s="5">
        <v>0.98882931188561196</v>
      </c>
      <c r="E12" s="5">
        <v>0.99654931423516802</v>
      </c>
      <c r="F12" s="5">
        <v>0.98640324032403204</v>
      </c>
      <c r="G12" s="5">
        <v>0.969117081260364</v>
      </c>
      <c r="H12" s="5">
        <v>0.735391516903113</v>
      </c>
      <c r="I12" s="5">
        <v>0.67148445449406402</v>
      </c>
      <c r="J12" s="5">
        <v>0.91540666666666604</v>
      </c>
      <c r="K12" s="5">
        <f t="shared" si="1"/>
        <v>0.91623451046475202</v>
      </c>
    </row>
    <row r="13" spans="1:11" x14ac:dyDescent="0.2">
      <c r="A13" s="4" t="s">
        <v>27</v>
      </c>
      <c r="B13" s="5">
        <v>0.99112965538556597</v>
      </c>
      <c r="C13" s="5">
        <v>0.99103641456582603</v>
      </c>
      <c r="D13" s="5">
        <v>0.98991659219541195</v>
      </c>
      <c r="E13" s="5">
        <v>0.99716451230331105</v>
      </c>
      <c r="F13" s="5">
        <v>0.98716231623162298</v>
      </c>
      <c r="G13" s="5">
        <v>0.98158805970149199</v>
      </c>
      <c r="H13" s="5">
        <v>0.78462432262063597</v>
      </c>
      <c r="I13" s="5">
        <v>0.74828264556246404</v>
      </c>
      <c r="J13" s="5">
        <v>0.90554666666666594</v>
      </c>
      <c r="K13" s="5">
        <f t="shared" si="1"/>
        <v>0.93071679835922183</v>
      </c>
    </row>
    <row r="14" spans="1:11" x14ac:dyDescent="0.2">
      <c r="A14" s="4" t="s">
        <v>28</v>
      </c>
      <c r="B14" s="5">
        <v>0.98366558491732303</v>
      </c>
      <c r="C14" s="5">
        <v>0.99159663865546199</v>
      </c>
      <c r="D14" s="5">
        <v>0.99060172773309496</v>
      </c>
      <c r="E14" s="5">
        <v>0.99282069875787105</v>
      </c>
      <c r="F14" s="5">
        <v>0.97686288628862805</v>
      </c>
      <c r="G14" s="5">
        <v>0.97196152570480898</v>
      </c>
      <c r="H14" s="5">
        <v>0.78098821189789602</v>
      </c>
      <c r="I14" s="5">
        <v>0.74822385528547197</v>
      </c>
      <c r="J14" s="5">
        <v>0.90147999999999995</v>
      </c>
      <c r="K14" s="5">
        <f t="shared" si="1"/>
        <v>0.92646679213783956</v>
      </c>
    </row>
    <row r="15" spans="1:11" x14ac:dyDescent="0.2">
      <c r="A15" s="4" t="s">
        <v>35</v>
      </c>
      <c r="B15" s="5">
        <v>0.98348014217277002</v>
      </c>
      <c r="C15" s="5">
        <v>0.99243697478991599</v>
      </c>
      <c r="D15" s="5">
        <v>0.98927613941018699</v>
      </c>
      <c r="E15" s="5">
        <v>0.99974892883130495</v>
      </c>
      <c r="F15" s="5">
        <v>0.98587998799879895</v>
      </c>
      <c r="G15" s="5">
        <v>0.97248955223880496</v>
      </c>
      <c r="H15" s="5">
        <v>0.74876458333469997</v>
      </c>
      <c r="I15" s="5">
        <v>0.69897569248162805</v>
      </c>
      <c r="J15" s="5">
        <v>0.88959999999999995</v>
      </c>
      <c r="K15" s="5">
        <f>AVERAGE(B15:J15)</f>
        <v>0.91785022236201241</v>
      </c>
    </row>
    <row r="16" spans="1:11" x14ac:dyDescent="0.2">
      <c r="A16" s="13" t="s">
        <v>31</v>
      </c>
      <c r="B16" s="14">
        <v>0.86818111574717904</v>
      </c>
      <c r="C16" s="14">
        <v>0.98039215686274495</v>
      </c>
      <c r="D16" s="14">
        <v>0.98625260649389301</v>
      </c>
      <c r="E16" s="14">
        <v>0.99665864724683195</v>
      </c>
      <c r="F16" s="14">
        <v>0.98342574257425697</v>
      </c>
      <c r="G16" s="14">
        <v>0.96316285240464306</v>
      </c>
      <c r="H16" s="14">
        <v>0.71720995133655396</v>
      </c>
      <c r="I16" s="14">
        <v>0.65033804409270701</v>
      </c>
      <c r="J16" s="14">
        <v>0.89499333333333297</v>
      </c>
      <c r="K16" s="14">
        <f t="shared" ref="K16:K22" si="2">AVERAGE(B16:J16)</f>
        <v>0.89340160556579362</v>
      </c>
    </row>
    <row r="17" spans="1:11" x14ac:dyDescent="0.2">
      <c r="A17" s="13" t="s">
        <v>32</v>
      </c>
      <c r="B17" s="14"/>
      <c r="C17" s="14"/>
      <c r="D17" s="14"/>
      <c r="E17" s="14"/>
      <c r="F17" s="14"/>
      <c r="G17" s="14"/>
      <c r="H17" s="14"/>
      <c r="I17" s="14"/>
      <c r="J17" s="14"/>
      <c r="K17" s="14" t="e">
        <f t="shared" si="2"/>
        <v>#DIV/0!</v>
      </c>
    </row>
    <row r="18" spans="1:11" x14ac:dyDescent="0.2">
      <c r="A18" s="13" t="s">
        <v>33</v>
      </c>
      <c r="B18" s="14"/>
      <c r="C18" s="14"/>
      <c r="D18" s="14"/>
      <c r="E18" s="14"/>
      <c r="F18" s="14"/>
      <c r="G18" s="14"/>
      <c r="H18" s="14"/>
      <c r="I18" s="14"/>
      <c r="J18" s="14">
        <v>0.84240000000000004</v>
      </c>
      <c r="K18" s="14">
        <f t="shared" si="2"/>
        <v>0.84240000000000004</v>
      </c>
    </row>
    <row r="19" spans="1:11" x14ac:dyDescent="0.2">
      <c r="A19" s="13" t="s">
        <v>34</v>
      </c>
      <c r="B19" s="14"/>
      <c r="C19" s="14"/>
      <c r="D19" s="14"/>
      <c r="E19" s="14"/>
      <c r="F19" s="14"/>
      <c r="G19" s="14"/>
      <c r="H19" s="14"/>
      <c r="I19" s="14"/>
      <c r="J19" s="14">
        <v>0.82653999999999905</v>
      </c>
      <c r="K19" s="14"/>
    </row>
    <row r="20" spans="1:11" x14ac:dyDescent="0.2">
      <c r="A20" s="15" t="s">
        <v>26</v>
      </c>
      <c r="B20" s="16">
        <v>0.99312316488950703</v>
      </c>
      <c r="C20" s="16">
        <v>0.98823529411764699</v>
      </c>
      <c r="D20" s="16">
        <v>0.98946976467083703</v>
      </c>
      <c r="E20" s="16">
        <v>0.99895858807308702</v>
      </c>
      <c r="F20" s="16">
        <v>0.98342574257425697</v>
      </c>
      <c r="G20" s="16">
        <v>0.97099303482586996</v>
      </c>
      <c r="H20" s="16">
        <v>0.735129749313567</v>
      </c>
      <c r="I20" s="16">
        <v>0.66082532504239599</v>
      </c>
      <c r="J20" s="16">
        <v>0.91153333333333297</v>
      </c>
      <c r="K20" s="16">
        <f t="shared" si="2"/>
        <v>0.91463266631561124</v>
      </c>
    </row>
    <row r="21" spans="1:11" x14ac:dyDescent="0.2">
      <c r="A21" s="15" t="s">
        <v>27</v>
      </c>
      <c r="B21" s="16"/>
      <c r="C21" s="16"/>
      <c r="D21" s="16"/>
      <c r="E21" s="16"/>
      <c r="F21" s="16"/>
      <c r="G21" s="16"/>
      <c r="H21" s="16"/>
      <c r="I21" s="16"/>
      <c r="J21" s="16"/>
      <c r="K21" s="16" t="e">
        <f t="shared" si="2"/>
        <v>#DIV/0!</v>
      </c>
    </row>
    <row r="22" spans="1:11" x14ac:dyDescent="0.2">
      <c r="A22" s="15" t="s">
        <v>28</v>
      </c>
      <c r="B22" s="16"/>
      <c r="C22" s="16"/>
      <c r="D22" s="16"/>
      <c r="E22" s="16"/>
      <c r="F22" s="16"/>
      <c r="G22" s="16"/>
      <c r="H22" s="16"/>
      <c r="I22" s="16"/>
      <c r="J22" s="16">
        <v>0.91150666666666602</v>
      </c>
      <c r="K22" s="16">
        <f t="shared" si="2"/>
        <v>0.91150666666666602</v>
      </c>
    </row>
    <row r="23" spans="1:11" x14ac:dyDescent="0.2">
      <c r="A23" s="15" t="s">
        <v>35</v>
      </c>
      <c r="B23" s="15"/>
      <c r="C23" s="15"/>
      <c r="D23" s="15"/>
      <c r="E23" s="15"/>
      <c r="F23" s="15"/>
      <c r="G23" s="15"/>
      <c r="H23" s="15"/>
      <c r="I23" s="15"/>
      <c r="J23" s="15">
        <v>0.87285999999999997</v>
      </c>
      <c r="K23" s="15"/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"/>
  <sheetViews>
    <sheetView tabSelected="1" zoomScale="91" workbookViewId="0">
      <selection activeCell="G4" sqref="G4"/>
    </sheetView>
  </sheetViews>
  <sheetFormatPr baseColWidth="10" defaultRowHeight="16" x14ac:dyDescent="0.2"/>
  <cols>
    <col min="1" max="1" width="43" bestFit="1" customWidth="1"/>
    <col min="2" max="2" width="12.83203125" customWidth="1"/>
    <col min="3" max="3" width="13" bestFit="1" customWidth="1"/>
    <col min="4" max="10" width="12.83203125" bestFit="1" customWidth="1"/>
    <col min="12" max="12" width="93.5" bestFit="1" customWidth="1"/>
  </cols>
  <sheetData>
    <row r="1" spans="1:12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8" t="s">
        <v>36</v>
      </c>
    </row>
    <row r="2" spans="1:12" x14ac:dyDescent="0.2">
      <c r="A2" s="2" t="s">
        <v>11</v>
      </c>
      <c r="B2" s="3">
        <v>0.98618451553082898</v>
      </c>
      <c r="C2" s="3">
        <v>0.97731092436974698</v>
      </c>
      <c r="D2" s="3">
        <v>0.98470000000000002</v>
      </c>
      <c r="E2" s="3">
        <v>0.94640000000000002</v>
      </c>
      <c r="F2" s="3">
        <v>0.6018</v>
      </c>
      <c r="G2" s="3">
        <v>0.97099999999999997</v>
      </c>
      <c r="H2" s="3">
        <v>0.65920000000000001</v>
      </c>
      <c r="I2" s="3">
        <v>0.50790000000000002</v>
      </c>
      <c r="J2" s="3">
        <v>0.88339999999999996</v>
      </c>
      <c r="K2" s="3">
        <f t="shared" ref="K2:K6" si="0">AVERAGE(C2:J2)</f>
        <v>0.81646386554621841</v>
      </c>
      <c r="L2" s="1"/>
    </row>
    <row r="3" spans="1:12" x14ac:dyDescent="0.2">
      <c r="A3" s="2" t="s">
        <v>12</v>
      </c>
      <c r="B3" s="3">
        <v>0.96867452590679204</v>
      </c>
      <c r="C3" s="3">
        <v>0.97659063625450104</v>
      </c>
      <c r="D3" s="3">
        <v>0.9829</v>
      </c>
      <c r="E3" s="3">
        <v>0.93010000000000004</v>
      </c>
      <c r="F3" s="3">
        <v>0.60489999999999999</v>
      </c>
      <c r="G3" s="3">
        <v>0.96740000000000004</v>
      </c>
      <c r="H3" s="3">
        <v>0.66400000000000003</v>
      </c>
      <c r="I3" s="3">
        <v>0.50880000000000003</v>
      </c>
      <c r="J3" s="3">
        <v>0.87819999999999998</v>
      </c>
      <c r="K3" s="3">
        <f t="shared" si="0"/>
        <v>0.81411132953181264</v>
      </c>
      <c r="L3" s="1"/>
    </row>
    <row r="4" spans="1:12" x14ac:dyDescent="0.2">
      <c r="A4" s="2" t="s">
        <v>13</v>
      </c>
      <c r="B4" s="3">
        <v>0.69890279709473002</v>
      </c>
      <c r="C4" s="3">
        <v>0.97703081232492905</v>
      </c>
      <c r="D4" s="3">
        <v>0.98899999999999999</v>
      </c>
      <c r="E4" s="3">
        <v>0.5323</v>
      </c>
      <c r="F4" s="3">
        <v>0.67410000000000003</v>
      </c>
      <c r="G4" s="3">
        <v>0.72570000000000001</v>
      </c>
      <c r="H4" s="3">
        <v>0.78010000000000002</v>
      </c>
      <c r="I4" s="3">
        <v>0.53069999999999995</v>
      </c>
      <c r="J4" s="3">
        <v>0.90569999999999995</v>
      </c>
      <c r="K4" s="3">
        <f t="shared" si="0"/>
        <v>0.76432885154061614</v>
      </c>
      <c r="L4" s="1"/>
    </row>
    <row r="5" spans="1:12" x14ac:dyDescent="0.2">
      <c r="A5" s="2" t="s">
        <v>14</v>
      </c>
      <c r="B5" s="3">
        <v>0.68462679647658697</v>
      </c>
      <c r="C5" s="3">
        <v>0.97635854341736705</v>
      </c>
      <c r="D5" s="3">
        <v>0.98880000000000001</v>
      </c>
      <c r="E5" s="3">
        <v>0.52180000000000004</v>
      </c>
      <c r="F5" s="3">
        <v>0.67520000000000002</v>
      </c>
      <c r="G5" s="3">
        <v>0.72409999999999997</v>
      </c>
      <c r="H5" s="3">
        <v>0.7782</v>
      </c>
      <c r="I5" s="3">
        <v>0.53090000000000004</v>
      </c>
      <c r="J5" s="3">
        <v>0.90390000000000004</v>
      </c>
      <c r="K5" s="3">
        <f t="shared" si="0"/>
        <v>0.76240731792717087</v>
      </c>
      <c r="L5" s="1"/>
    </row>
    <row r="6" spans="1:12" x14ac:dyDescent="0.2">
      <c r="A6" s="2" t="s">
        <v>15</v>
      </c>
      <c r="B6" s="3">
        <v>0.92770823674856995</v>
      </c>
      <c r="C6" s="3">
        <v>0.97450980392156805</v>
      </c>
      <c r="D6" s="3">
        <v>0.78200000000000003</v>
      </c>
      <c r="E6" s="3">
        <v>0.99750000000000005</v>
      </c>
      <c r="F6" s="3">
        <v>0.63390000000000002</v>
      </c>
      <c r="G6" s="3">
        <v>0.9446</v>
      </c>
      <c r="H6" s="3">
        <v>0.53810000000000002</v>
      </c>
      <c r="I6" s="3">
        <v>0.45200000000000001</v>
      </c>
      <c r="J6" s="3">
        <v>0.64300000000000002</v>
      </c>
      <c r="K6" s="3">
        <f t="shared" si="0"/>
        <v>0.74570122549019602</v>
      </c>
      <c r="L6" s="1"/>
    </row>
    <row r="7" spans="1:12" ht="17" customHeight="1" x14ac:dyDescent="0.2">
      <c r="A7" s="2" t="s">
        <v>16</v>
      </c>
      <c r="B7" s="3">
        <v>0.95056405501468</v>
      </c>
      <c r="C7" s="3">
        <v>0.96078431372549</v>
      </c>
      <c r="D7" s="3">
        <v>0.94965743223115795</v>
      </c>
      <c r="E7" s="3">
        <v>0.98949755984508203</v>
      </c>
      <c r="F7" s="3">
        <v>0.54151455145514504</v>
      </c>
      <c r="G7" s="3">
        <v>0.96435157545605299</v>
      </c>
      <c r="H7" s="3">
        <v>0.53842232528825296</v>
      </c>
      <c r="I7" s="3">
        <v>0.46290559638213602</v>
      </c>
      <c r="J7" s="3">
        <v>0.92032000000000003</v>
      </c>
      <c r="K7" s="3">
        <f>AVERAGE(C7:J7)</f>
        <v>0.79093166929791459</v>
      </c>
      <c r="L7" s="1"/>
    </row>
    <row r="8" spans="1:12" x14ac:dyDescent="0.2">
      <c r="A8" s="6" t="s">
        <v>37</v>
      </c>
      <c r="B8" s="7">
        <v>0.89947457889043403</v>
      </c>
      <c r="C8" s="7">
        <v>0.97955182072829095</v>
      </c>
      <c r="D8" s="7">
        <v>0.98906761989871905</v>
      </c>
      <c r="E8" s="7">
        <v>0.989601746010219</v>
      </c>
      <c r="F8" s="7">
        <v>0.98244584458445805</v>
      </c>
      <c r="G8" s="7">
        <v>0.95860696517412902</v>
      </c>
      <c r="H8" s="7">
        <v>0.73235779163223202</v>
      </c>
      <c r="I8" s="7">
        <v>0.49181684567552197</v>
      </c>
      <c r="J8" s="7">
        <v>0.90584666666666602</v>
      </c>
      <c r="K8" s="7">
        <f t="shared" ref="K8:K15" si="1">AVERAGE(B8:J8)</f>
        <v>0.88097443102896333</v>
      </c>
      <c r="L8" s="1" t="s">
        <v>42</v>
      </c>
    </row>
    <row r="9" spans="1:12" x14ac:dyDescent="0.2">
      <c r="A9" s="6" t="s">
        <v>38</v>
      </c>
      <c r="B9" s="7">
        <v>0.93067532066141201</v>
      </c>
      <c r="C9" s="7">
        <v>0.98011204481792702</v>
      </c>
      <c r="D9" s="7">
        <v>0.98924635090854895</v>
      </c>
      <c r="E9" s="7">
        <v>0.71764642303660497</v>
      </c>
      <c r="F9" s="7">
        <v>0.97201260126012501</v>
      </c>
      <c r="G9" s="7">
        <v>0.96562255389717999</v>
      </c>
      <c r="H9" s="7">
        <v>0.73448785667509198</v>
      </c>
      <c r="I9" s="7">
        <v>0.60783719615602005</v>
      </c>
      <c r="J9" s="7">
        <v>0.87808666666666602</v>
      </c>
      <c r="K9" s="7">
        <f t="shared" si="1"/>
        <v>0.86396966823106403</v>
      </c>
      <c r="L9" s="1" t="s">
        <v>42</v>
      </c>
    </row>
    <row r="10" spans="1:12" x14ac:dyDescent="0.2">
      <c r="A10" s="6" t="s">
        <v>39</v>
      </c>
      <c r="B10" s="7">
        <v>0.58870344614433601</v>
      </c>
      <c r="C10" s="7">
        <v>0.93389355742296898</v>
      </c>
      <c r="D10" s="7">
        <v>0.98890378313970795</v>
      </c>
      <c r="E10" s="7">
        <v>0.67901473017482195</v>
      </c>
      <c r="F10" s="7">
        <v>0.973759975997599</v>
      </c>
      <c r="G10" s="7">
        <v>0.96806102819237105</v>
      </c>
      <c r="H10" s="7">
        <v>0.73269490868465603</v>
      </c>
      <c r="I10" s="7">
        <v>0.55280497456189903</v>
      </c>
      <c r="J10" s="7">
        <v>0.84489333333333305</v>
      </c>
      <c r="K10" s="7">
        <f t="shared" si="1"/>
        <v>0.80696997085018796</v>
      </c>
      <c r="L10" s="1" t="s">
        <v>42</v>
      </c>
    </row>
    <row r="11" spans="1:12" x14ac:dyDescent="0.2">
      <c r="A11" s="6" t="s">
        <v>40</v>
      </c>
      <c r="B11" s="7">
        <v>0.86719208777623202</v>
      </c>
      <c r="C11" s="7">
        <v>0.95294117647058796</v>
      </c>
      <c r="D11" s="7">
        <v>0.98815907059874797</v>
      </c>
      <c r="E11" s="7">
        <v>0.98996667241980796</v>
      </c>
      <c r="F11" s="7">
        <v>0.98387518751875203</v>
      </c>
      <c r="G11" s="7">
        <v>0.97077280265339905</v>
      </c>
      <c r="H11" s="7">
        <v>0.73909455326493101</v>
      </c>
      <c r="I11" s="7">
        <v>0.560660260033917</v>
      </c>
      <c r="J11" s="7">
        <v>0.858493333333333</v>
      </c>
      <c r="K11" s="7">
        <f>AVERAGE(B11:J11)</f>
        <v>0.87901723822996747</v>
      </c>
      <c r="L11" s="1" t="s">
        <v>42</v>
      </c>
    </row>
    <row r="12" spans="1:12" x14ac:dyDescent="0.2">
      <c r="A12" s="6" t="s">
        <v>44</v>
      </c>
      <c r="B12" s="7">
        <v>0.93067532066141201</v>
      </c>
      <c r="C12" s="7">
        <v>0.97955182072829095</v>
      </c>
      <c r="D12" s="7">
        <v>0.98924635090854895</v>
      </c>
      <c r="E12" s="7">
        <v>0.71764642303660497</v>
      </c>
      <c r="F12" s="7">
        <v>0.97201260126012501</v>
      </c>
      <c r="G12" s="7">
        <v>0.96806102819237105</v>
      </c>
      <c r="H12" s="7">
        <v>0.73448785667509198</v>
      </c>
      <c r="I12" s="7">
        <v>0.60783719615602005</v>
      </c>
      <c r="J12" s="7">
        <v>0.87808666666666602</v>
      </c>
      <c r="K12" s="7">
        <f>AVERAGE(B12:J12)</f>
        <v>0.86417836269834802</v>
      </c>
      <c r="L12" s="1" t="s">
        <v>42</v>
      </c>
    </row>
    <row r="13" spans="1:12" x14ac:dyDescent="0.2">
      <c r="A13" s="4" t="s">
        <v>26</v>
      </c>
      <c r="B13" s="5">
        <v>0.99335496832019698</v>
      </c>
      <c r="C13" s="5">
        <v>0.98683473389355703</v>
      </c>
      <c r="D13" s="5">
        <v>0.98906761989871905</v>
      </c>
      <c r="E13" s="5">
        <v>0.998807580595369</v>
      </c>
      <c r="F13" s="5">
        <v>0.98244584458445805</v>
      </c>
      <c r="G13" s="5">
        <v>0.97195091210613505</v>
      </c>
      <c r="H13" s="5">
        <v>0.73386143734283205</v>
      </c>
      <c r="I13" s="5">
        <v>0.68717241379310301</v>
      </c>
      <c r="J13" s="5">
        <v>0.91242666666666605</v>
      </c>
      <c r="K13" s="5">
        <f t="shared" si="1"/>
        <v>0.91732468635567066</v>
      </c>
      <c r="L13" s="1" t="s">
        <v>42</v>
      </c>
    </row>
    <row r="14" spans="1:12" x14ac:dyDescent="0.2">
      <c r="A14" s="4" t="s">
        <v>27</v>
      </c>
      <c r="B14" s="5">
        <v>0.99241230103538802</v>
      </c>
      <c r="C14" s="5">
        <v>0.994957983193277</v>
      </c>
      <c r="D14" s="5">
        <v>0.98988680369377402</v>
      </c>
      <c r="E14" s="5">
        <v>0.99792489641596505</v>
      </c>
      <c r="F14" s="5">
        <v>0.98769756975697498</v>
      </c>
      <c r="G14" s="5">
        <v>0.98166500829187298</v>
      </c>
      <c r="H14" s="5">
        <v>0.78406297595971897</v>
      </c>
      <c r="I14" s="5">
        <v>0.75604296212549404</v>
      </c>
      <c r="J14" s="5">
        <v>0.90747333333333302</v>
      </c>
      <c r="K14" s="5">
        <f t="shared" si="1"/>
        <v>0.9324582037561997</v>
      </c>
      <c r="L14" s="1" t="s">
        <v>42</v>
      </c>
    </row>
    <row r="15" spans="1:12" x14ac:dyDescent="0.2">
      <c r="A15" s="4" t="s">
        <v>28</v>
      </c>
      <c r="B15" s="5">
        <v>0.98343378148663196</v>
      </c>
      <c r="C15" s="5">
        <v>0.99327731092436899</v>
      </c>
      <c r="D15" s="5">
        <v>0.990378313970807</v>
      </c>
      <c r="E15" s="5">
        <v>0.98977568943508298</v>
      </c>
      <c r="F15" s="5">
        <v>0.973759975997599</v>
      </c>
      <c r="G15" s="5">
        <v>0.97233034825870601</v>
      </c>
      <c r="H15" s="5">
        <v>0.77801347390616604</v>
      </c>
      <c r="I15" s="5">
        <v>0.74436178631995398</v>
      </c>
      <c r="J15" s="5">
        <v>0.90439333333333305</v>
      </c>
      <c r="K15" s="5">
        <f t="shared" si="1"/>
        <v>0.92552489040362751</v>
      </c>
      <c r="L15" s="1" t="s">
        <v>42</v>
      </c>
    </row>
    <row r="16" spans="1:12" x14ac:dyDescent="0.2">
      <c r="A16" s="4" t="s">
        <v>41</v>
      </c>
      <c r="B16" s="5">
        <v>0.98375830628959904</v>
      </c>
      <c r="C16" s="5">
        <v>0.99215686274509796</v>
      </c>
      <c r="D16" s="5">
        <v>0.98923145665773005</v>
      </c>
      <c r="E16" s="5">
        <v>0.999856862700223</v>
      </c>
      <c r="F16" s="5">
        <v>0.98387518751875203</v>
      </c>
      <c r="G16" s="5">
        <v>0.97331741293532303</v>
      </c>
      <c r="H16" s="5">
        <v>0.73909455326493101</v>
      </c>
      <c r="I16" s="5">
        <v>0.68984058790276903</v>
      </c>
      <c r="J16" s="5">
        <v>0.86306666666666598</v>
      </c>
      <c r="K16" s="5">
        <f>AVERAGE(B16:J16)</f>
        <v>0.9126886551867881</v>
      </c>
      <c r="L16" s="1" t="s">
        <v>42</v>
      </c>
    </row>
    <row r="17" spans="1:12" x14ac:dyDescent="0.2">
      <c r="A17" s="19" t="s">
        <v>45</v>
      </c>
      <c r="B17" s="5">
        <f>MAX(B13:B16)</f>
        <v>0.99335496832019698</v>
      </c>
      <c r="C17" s="5">
        <f>MAX(C13:C16)</f>
        <v>0.994957983193277</v>
      </c>
      <c r="D17" s="5">
        <f t="shared" ref="C17:J17" si="2">MAX(D13:D16)</f>
        <v>0.990378313970807</v>
      </c>
      <c r="E17" s="5">
        <f t="shared" si="2"/>
        <v>0.999856862700223</v>
      </c>
      <c r="F17" s="5">
        <f t="shared" si="2"/>
        <v>0.98769756975697498</v>
      </c>
      <c r="G17" s="5">
        <f t="shared" si="2"/>
        <v>0.98166500829187298</v>
      </c>
      <c r="H17" s="5">
        <f t="shared" si="2"/>
        <v>0.78406297595971897</v>
      </c>
      <c r="I17" s="5">
        <f>MAX(I13:I16)</f>
        <v>0.75604296212549404</v>
      </c>
      <c r="J17" s="5">
        <f t="shared" si="2"/>
        <v>0.91242666666666605</v>
      </c>
      <c r="K17" s="5">
        <f>AVERAGE(B17:J17)</f>
        <v>0.93338259010947</v>
      </c>
      <c r="L17" s="1" t="s">
        <v>42</v>
      </c>
    </row>
    <row r="18" spans="1:12" x14ac:dyDescent="0.2">
      <c r="A18" s="13" t="s">
        <v>37</v>
      </c>
      <c r="B18" s="14">
        <v>0.90387884407355901</v>
      </c>
      <c r="C18" s="14">
        <v>0.98011204481792702</v>
      </c>
      <c r="D18" s="14">
        <v>0.98824843610366397</v>
      </c>
      <c r="E18" s="14">
        <v>0.98944504202275196</v>
      </c>
      <c r="F18" s="14">
        <v>0.98720252025202504</v>
      </c>
      <c r="G18" s="14">
        <v>0.96348126036484205</v>
      </c>
      <c r="H18" s="14">
        <v>0.739937065557697</v>
      </c>
      <c r="I18" s="14">
        <v>0.68428716789146404</v>
      </c>
      <c r="J18" s="14">
        <v>0.89631333333333296</v>
      </c>
      <c r="K18" s="14">
        <f>AVERAGE(C18:J18)</f>
        <v>0.90362835879296299</v>
      </c>
      <c r="L18" s="1" t="s">
        <v>46</v>
      </c>
    </row>
    <row r="19" spans="1:12" x14ac:dyDescent="0.2">
      <c r="A19" s="13" t="s">
        <v>38</v>
      </c>
      <c r="B19" s="14">
        <v>0.73783031988873404</v>
      </c>
      <c r="C19" s="14">
        <v>0.97955182072829095</v>
      </c>
      <c r="D19" s="14">
        <v>0.98943997616919799</v>
      </c>
      <c r="E19" s="14">
        <v>0.84962354815204699</v>
      </c>
      <c r="F19" s="14">
        <v>0.98419141914191399</v>
      </c>
      <c r="G19" s="14">
        <v>0.97505804311774402</v>
      </c>
      <c r="H19" s="14">
        <v>0.73274299012049504</v>
      </c>
      <c r="I19" s="14">
        <v>0.76112605992085902</v>
      </c>
      <c r="J19" s="14">
        <v>0.86858666666666595</v>
      </c>
      <c r="K19" s="14">
        <f t="shared" ref="K19:K22" si="3">AVERAGE(C19:J19)</f>
        <v>0.89254006550215181</v>
      </c>
      <c r="L19" s="1" t="s">
        <v>46</v>
      </c>
    </row>
    <row r="20" spans="1:12" x14ac:dyDescent="0.2">
      <c r="A20" s="13" t="s">
        <v>39</v>
      </c>
      <c r="B20" s="14">
        <v>0.48780713954566501</v>
      </c>
      <c r="C20" s="14">
        <v>0.98627450980392095</v>
      </c>
      <c r="D20" s="14">
        <v>0.98821864760202505</v>
      </c>
      <c r="E20" s="14">
        <v>0.70584838919194204</v>
      </c>
      <c r="F20" s="14">
        <v>0.97448544854485397</v>
      </c>
      <c r="G20" s="14">
        <v>0.96781691542288495</v>
      </c>
      <c r="H20" s="14">
        <v>0.67925231069862801</v>
      </c>
      <c r="I20" s="14">
        <v>0.71762577727529597</v>
      </c>
      <c r="J20" s="14">
        <v>0.85204666666666595</v>
      </c>
      <c r="K20" s="14">
        <f t="shared" si="3"/>
        <v>0.85894608315077714</v>
      </c>
      <c r="L20" s="1" t="s">
        <v>46</v>
      </c>
    </row>
    <row r="21" spans="1:12" x14ac:dyDescent="0.2">
      <c r="A21" s="13" t="s">
        <v>40</v>
      </c>
      <c r="B21" s="14">
        <v>0.83912841910060199</v>
      </c>
      <c r="C21" s="14">
        <v>0.95406162464986</v>
      </c>
      <c r="D21" s="14">
        <v>0.98742925230860801</v>
      </c>
      <c r="E21" s="14">
        <v>0.99749458506772903</v>
      </c>
      <c r="F21" s="14">
        <v>0.98548154815481503</v>
      </c>
      <c r="G21" s="14">
        <v>0.89774593698175698</v>
      </c>
      <c r="H21" s="14">
        <v>0.71616743476623601</v>
      </c>
      <c r="I21" s="14">
        <v>0.69881288863764801</v>
      </c>
      <c r="J21" s="14">
        <v>0.85339999999999905</v>
      </c>
      <c r="K21" s="14">
        <f t="shared" si="3"/>
        <v>0.88632415882083149</v>
      </c>
      <c r="L21" s="1" t="s">
        <v>46</v>
      </c>
    </row>
    <row r="22" spans="1:12" x14ac:dyDescent="0.2">
      <c r="A22" s="13" t="s">
        <v>43</v>
      </c>
      <c r="B22" s="14">
        <v>0.48780713954566501</v>
      </c>
      <c r="C22" s="14">
        <v>0.97955182072829095</v>
      </c>
      <c r="D22" s="14">
        <v>0.98821864760202505</v>
      </c>
      <c r="E22" s="14">
        <v>0.84962354815204699</v>
      </c>
      <c r="F22" s="14">
        <v>0.98720252025202504</v>
      </c>
      <c r="G22" s="14">
        <v>0.97505804311774402</v>
      </c>
      <c r="H22" s="14">
        <v>0.67925231069862801</v>
      </c>
      <c r="I22" s="14">
        <v>0.71762577727529597</v>
      </c>
      <c r="J22" s="14">
        <v>0.85204666666666595</v>
      </c>
      <c r="K22" s="14">
        <f t="shared" si="3"/>
        <v>0.87857241681159026</v>
      </c>
      <c r="L22" s="1" t="s">
        <v>46</v>
      </c>
    </row>
    <row r="23" spans="1:12" x14ac:dyDescent="0.2">
      <c r="A23" s="15" t="s">
        <v>26</v>
      </c>
      <c r="B23" s="16">
        <v>0.99377221449544095</v>
      </c>
      <c r="C23" s="16">
        <v>0.98739495798319299</v>
      </c>
      <c r="D23" s="16">
        <v>0.98909740840035698</v>
      </c>
      <c r="E23" s="16">
        <v>0.99887191617695803</v>
      </c>
      <c r="F23" s="16">
        <v>0.98720252025202504</v>
      </c>
      <c r="G23" s="16">
        <v>0.968612935323383</v>
      </c>
      <c r="H23" s="16">
        <v>0.739937065557697</v>
      </c>
      <c r="I23" s="16">
        <v>0.68428716789146404</v>
      </c>
      <c r="J23" s="16">
        <v>0.91275333333333297</v>
      </c>
      <c r="K23" s="16">
        <f>AVERAGE(C23:J23)</f>
        <v>0.90851966311480126</v>
      </c>
      <c r="L23" s="1" t="s">
        <v>46</v>
      </c>
    </row>
    <row r="24" spans="1:12" x14ac:dyDescent="0.2">
      <c r="A24" s="15" t="s">
        <v>27</v>
      </c>
      <c r="B24" s="16">
        <v>0.99231957966311202</v>
      </c>
      <c r="C24" s="16">
        <v>0.99047619047618995</v>
      </c>
      <c r="D24" s="16">
        <v>0.98984212094131596</v>
      </c>
      <c r="E24" s="16">
        <v>0.99831155950748895</v>
      </c>
      <c r="F24" s="16">
        <v>0.98419141914191399</v>
      </c>
      <c r="G24" s="16">
        <v>0.98246102819237102</v>
      </c>
      <c r="H24" s="16">
        <v>0.78452392732449905</v>
      </c>
      <c r="I24" s="16">
        <v>0.76112605992085902</v>
      </c>
      <c r="J24" s="16">
        <v>0.90161333333333304</v>
      </c>
      <c r="K24" s="16">
        <f t="shared" ref="K24:K26" si="4">AVERAGE(C24:J24)</f>
        <v>0.92406820485474639</v>
      </c>
      <c r="L24" s="1" t="s">
        <v>46</v>
      </c>
    </row>
    <row r="25" spans="1:12" x14ac:dyDescent="0.2">
      <c r="A25" s="15" t="s">
        <v>28</v>
      </c>
      <c r="B25" s="16">
        <v>0.98409828465461202</v>
      </c>
      <c r="C25" s="16">
        <v>0.99159663865546199</v>
      </c>
      <c r="D25" s="16">
        <v>0.99034852546916796</v>
      </c>
      <c r="E25" s="16">
        <v>0.99242723983015602</v>
      </c>
      <c r="F25" s="16">
        <v>0.97448544854485397</v>
      </c>
      <c r="G25" s="16">
        <v>0.97282653399668295</v>
      </c>
      <c r="H25" s="16">
        <v>0.78044118300243004</v>
      </c>
      <c r="I25" s="16">
        <v>0.74226794799321605</v>
      </c>
      <c r="J25" s="16">
        <v>0.89946666666666597</v>
      </c>
      <c r="K25" s="16">
        <f t="shared" si="4"/>
        <v>0.91798252301982941</v>
      </c>
      <c r="L25" s="1" t="s">
        <v>46</v>
      </c>
    </row>
    <row r="26" spans="1:12" x14ac:dyDescent="0.2">
      <c r="A26" s="15" t="s">
        <v>41</v>
      </c>
      <c r="B26" s="16">
        <v>0.98429918096121105</v>
      </c>
      <c r="C26" s="16">
        <v>0.98795518207282895</v>
      </c>
      <c r="D26" s="16">
        <v>0.98933571641346396</v>
      </c>
      <c r="E26" s="16">
        <v>0.99976336998321103</v>
      </c>
      <c r="F26" s="16">
        <v>0.98548154815481503</v>
      </c>
      <c r="G26" s="16">
        <v>0.97398606965174095</v>
      </c>
      <c r="H26" s="16">
        <v>0.732125404863193</v>
      </c>
      <c r="I26" s="16">
        <v>0.69881288863764801</v>
      </c>
      <c r="J26" s="16">
        <v>0.87148000000000003</v>
      </c>
      <c r="K26" s="16">
        <f t="shared" si="4"/>
        <v>0.90486752247211255</v>
      </c>
      <c r="L26" s="1" t="s">
        <v>46</v>
      </c>
    </row>
    <row r="27" spans="1:12" x14ac:dyDescent="0.2">
      <c r="A27" s="17" t="s">
        <v>45</v>
      </c>
      <c r="B27" s="16">
        <f>MAX(B23:B26)</f>
        <v>0.99377221449544095</v>
      </c>
      <c r="C27" s="16">
        <f>MAX(C23:C26)</f>
        <v>0.99159663865546199</v>
      </c>
      <c r="D27" s="16">
        <f t="shared" ref="D27" si="5">MAX(D23:D26)</f>
        <v>0.99034852546916796</v>
      </c>
      <c r="E27" s="16">
        <f t="shared" ref="E27" si="6">MAX(E23:E26)</f>
        <v>0.99976336998321103</v>
      </c>
      <c r="F27" s="16">
        <f t="shared" ref="F27" si="7">MAX(F23:F26)</f>
        <v>0.98720252025202504</v>
      </c>
      <c r="G27" s="16">
        <f t="shared" ref="G27" si="8">MAX(G23:G26)</f>
        <v>0.98246102819237102</v>
      </c>
      <c r="H27" s="16">
        <f t="shared" ref="H27" si="9">MAX(H23:H26)</f>
        <v>0.78452392732449905</v>
      </c>
      <c r="I27" s="16">
        <f>MAX(I23:I26)</f>
        <v>0.76112605992085902</v>
      </c>
      <c r="J27" s="16">
        <f t="shared" ref="J27" si="10">MAX(J23:J26)</f>
        <v>0.91275333333333297</v>
      </c>
      <c r="K27" s="16">
        <f>AVERAGE(C27:J27)</f>
        <v>0.92622192539136605</v>
      </c>
      <c r="L27" s="1" t="s">
        <v>46</v>
      </c>
    </row>
    <row r="28" spans="1:12" s="22" customFormat="1" x14ac:dyDescent="0.2">
      <c r="A28" s="20" t="s">
        <v>47</v>
      </c>
      <c r="B28" s="21">
        <v>0.90418791531447995</v>
      </c>
      <c r="C28" s="21">
        <v>0.98061624649859902</v>
      </c>
      <c r="D28" s="21">
        <v>0.988045874292523</v>
      </c>
      <c r="E28" s="21">
        <v>0.988511913750445</v>
      </c>
      <c r="F28" s="21">
        <v>0.98532571257125701</v>
      </c>
      <c r="G28" s="21">
        <v>0.96259661691542198</v>
      </c>
      <c r="H28" s="21">
        <v>0.73352400713202504</v>
      </c>
      <c r="I28" s="21">
        <v>0.68364771057094398</v>
      </c>
      <c r="J28" s="21">
        <v>0.89811999999999903</v>
      </c>
      <c r="K28" s="21">
        <f>AVERAGE(C28:J28)</f>
        <v>0.9025485102164017</v>
      </c>
      <c r="L28" s="20" t="s">
        <v>46</v>
      </c>
    </row>
    <row r="29" spans="1:12" s="22" customFormat="1" x14ac:dyDescent="0.2">
      <c r="A29" s="20" t="s">
        <v>48</v>
      </c>
      <c r="B29" s="21">
        <v>0.83540411064750397</v>
      </c>
      <c r="C29" s="21">
        <v>0.97910364145658202</v>
      </c>
      <c r="D29" s="21">
        <v>0.98829311885612103</v>
      </c>
      <c r="E29" s="21">
        <v>0.82162806598397098</v>
      </c>
      <c r="F29" s="21">
        <v>0.98297995799579896</v>
      </c>
      <c r="G29" s="21">
        <v>0.96597014925373104</v>
      </c>
      <c r="H29" s="21">
        <v>0.74513626875148598</v>
      </c>
      <c r="I29" s="21">
        <v>0.74703990955341903</v>
      </c>
      <c r="J29" s="21">
        <v>0.84647333333333297</v>
      </c>
      <c r="K29" s="21">
        <f t="shared" ref="K29:K32" si="11">AVERAGE(C29:J29)</f>
        <v>0.88457805564805536</v>
      </c>
      <c r="L29" s="20" t="s">
        <v>46</v>
      </c>
    </row>
    <row r="30" spans="1:12" s="22" customFormat="1" x14ac:dyDescent="0.2">
      <c r="A30" s="20" t="s">
        <v>49</v>
      </c>
      <c r="B30" s="21">
        <v>0.60583526502858898</v>
      </c>
      <c r="C30" s="21">
        <v>0.95366946778711503</v>
      </c>
      <c r="D30" s="21">
        <v>0.98795055108728003</v>
      </c>
      <c r="E30" s="21">
        <v>0.69187278954184706</v>
      </c>
      <c r="F30" s="21">
        <v>0.87634857485748496</v>
      </c>
      <c r="G30" s="21">
        <v>0.95841485903814205</v>
      </c>
      <c r="H30" s="21">
        <v>0.64439725188611596</v>
      </c>
      <c r="I30" s="21">
        <v>0.74706613906161601</v>
      </c>
      <c r="J30" s="21">
        <v>0.84279866666666603</v>
      </c>
      <c r="K30" s="21">
        <f t="shared" si="11"/>
        <v>0.83781478749078331</v>
      </c>
      <c r="L30" s="20" t="s">
        <v>46</v>
      </c>
    </row>
    <row r="31" spans="1:12" s="22" customFormat="1" x14ac:dyDescent="0.2">
      <c r="A31" s="20" t="s">
        <v>50</v>
      </c>
      <c r="B31" s="21">
        <v>0.86055941894606702</v>
      </c>
      <c r="C31" s="21">
        <v>0.94633053221288499</v>
      </c>
      <c r="D31" s="21">
        <v>0.98774501042597496</v>
      </c>
      <c r="E31" s="21">
        <v>0.99547815553410401</v>
      </c>
      <c r="F31" s="21">
        <v>0.98556387638763798</v>
      </c>
      <c r="G31" s="21">
        <v>0.92617764510779399</v>
      </c>
      <c r="H31" s="21">
        <v>0.73181402423348096</v>
      </c>
      <c r="I31" s="21">
        <v>0.69759819106840004</v>
      </c>
      <c r="J31" s="21">
        <v>0.84371999999999903</v>
      </c>
      <c r="K31" s="21">
        <f t="shared" si="11"/>
        <v>0.88930342937128459</v>
      </c>
      <c r="L31" s="20" t="s">
        <v>46</v>
      </c>
    </row>
    <row r="32" spans="1:12" s="22" customFormat="1" x14ac:dyDescent="0.2">
      <c r="A32" s="20" t="s">
        <v>51</v>
      </c>
      <c r="B32" s="20"/>
      <c r="C32" s="21"/>
      <c r="D32" s="21"/>
      <c r="E32" s="21"/>
      <c r="F32" s="21"/>
      <c r="G32" s="21"/>
      <c r="H32" s="21"/>
      <c r="I32" s="21"/>
      <c r="J32" s="21"/>
      <c r="K32" s="21" t="e">
        <f t="shared" si="11"/>
        <v>#DIV/0!</v>
      </c>
      <c r="L32" s="20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sqref="A1:K65536"/>
    </sheetView>
  </sheetViews>
  <sheetFormatPr baseColWidth="10" defaultRowHeight="16" x14ac:dyDescent="0.2"/>
  <cols>
    <col min="1" max="1" width="70" customWidth="1"/>
    <col min="2" max="2" width="9.83203125" customWidth="1"/>
    <col min="3" max="3" width="12.33203125" customWidth="1"/>
    <col min="4" max="4" width="8.6640625" customWidth="1"/>
  </cols>
  <sheetData>
    <row r="1" spans="1:11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</row>
    <row r="2" spans="1:11" x14ac:dyDescent="0.2">
      <c r="A2" s="2" t="s">
        <v>11</v>
      </c>
      <c r="B2" s="3">
        <v>0.98618451553082898</v>
      </c>
      <c r="C2" s="3">
        <v>0.97731092436974698</v>
      </c>
      <c r="D2" s="3">
        <v>0.98470000000000002</v>
      </c>
      <c r="E2" s="3">
        <v>0.94640000000000002</v>
      </c>
      <c r="F2" s="3">
        <v>0.6018</v>
      </c>
      <c r="G2" s="3">
        <v>0.97099999999999997</v>
      </c>
      <c r="H2" s="3">
        <v>0.65920000000000001</v>
      </c>
      <c r="I2" s="3">
        <v>0.50790000000000002</v>
      </c>
      <c r="J2" s="3">
        <v>0.88339999999999996</v>
      </c>
      <c r="K2" s="3">
        <f t="shared" ref="K2:K7" si="0">AVERAGE(B2:J2)</f>
        <v>0.83532171554450851</v>
      </c>
    </row>
    <row r="3" spans="1:11" x14ac:dyDescent="0.2">
      <c r="A3" s="2" t="s">
        <v>12</v>
      </c>
      <c r="B3" s="3">
        <v>0.96867452590679204</v>
      </c>
      <c r="C3" s="3">
        <v>0.97659063625450104</v>
      </c>
      <c r="D3" s="3">
        <v>0.9829</v>
      </c>
      <c r="E3" s="3">
        <v>0.93010000000000004</v>
      </c>
      <c r="F3" s="3">
        <v>0.60489999999999999</v>
      </c>
      <c r="G3" s="3">
        <v>0.96740000000000004</v>
      </c>
      <c r="H3" s="3">
        <v>0.66400000000000003</v>
      </c>
      <c r="I3" s="3">
        <v>0.50880000000000003</v>
      </c>
      <c r="J3" s="3">
        <v>0.87819999999999998</v>
      </c>
      <c r="K3" s="3">
        <f t="shared" si="0"/>
        <v>0.83128501801792143</v>
      </c>
    </row>
    <row r="4" spans="1:11" x14ac:dyDescent="0.2">
      <c r="A4" s="2" t="s">
        <v>13</v>
      </c>
      <c r="B4" s="3">
        <v>0.69890279709473002</v>
      </c>
      <c r="C4" s="3">
        <v>0.97703081232492905</v>
      </c>
      <c r="D4" s="3">
        <v>0.98899999999999999</v>
      </c>
      <c r="E4" s="3">
        <v>0.5323</v>
      </c>
      <c r="F4" s="3">
        <v>0.67410000000000003</v>
      </c>
      <c r="G4" s="3">
        <v>0.72570000000000001</v>
      </c>
      <c r="H4" s="3">
        <v>0.78010000000000002</v>
      </c>
      <c r="I4" s="3">
        <v>0.53069999999999995</v>
      </c>
      <c r="J4" s="3">
        <v>0.90569999999999995</v>
      </c>
      <c r="K4" s="3">
        <f t="shared" si="0"/>
        <v>0.75705928993551774</v>
      </c>
    </row>
    <row r="5" spans="1:11" x14ac:dyDescent="0.2">
      <c r="A5" s="2" t="s">
        <v>14</v>
      </c>
      <c r="B5" s="3">
        <v>0.68462679647658697</v>
      </c>
      <c r="C5" s="3">
        <v>0.97635854341736705</v>
      </c>
      <c r="D5" s="3">
        <v>0.98880000000000001</v>
      </c>
      <c r="E5" s="3">
        <v>0.52180000000000004</v>
      </c>
      <c r="F5" s="3">
        <v>0.67520000000000002</v>
      </c>
      <c r="G5" s="3">
        <v>0.72409999999999997</v>
      </c>
      <c r="H5" s="3">
        <v>0.7782</v>
      </c>
      <c r="I5" s="3">
        <v>0.53090000000000004</v>
      </c>
      <c r="J5" s="3">
        <v>0.90390000000000004</v>
      </c>
      <c r="K5" s="3">
        <f t="shared" si="0"/>
        <v>0.75376503776599491</v>
      </c>
    </row>
    <row r="6" spans="1:11" x14ac:dyDescent="0.2">
      <c r="A6" s="2" t="s">
        <v>15</v>
      </c>
      <c r="B6" s="3">
        <v>0.92770823674856995</v>
      </c>
      <c r="C6" s="3">
        <v>0.97450980392156805</v>
      </c>
      <c r="D6" s="3">
        <v>0.78200000000000003</v>
      </c>
      <c r="E6" s="3">
        <v>0.99750000000000005</v>
      </c>
      <c r="F6" s="3">
        <v>0.63390000000000002</v>
      </c>
      <c r="G6" s="3">
        <v>0.9446</v>
      </c>
      <c r="H6" s="3">
        <v>0.53810000000000002</v>
      </c>
      <c r="I6" s="3">
        <v>0.45200000000000001</v>
      </c>
      <c r="J6" s="3">
        <v>0.64300000000000002</v>
      </c>
      <c r="K6" s="3">
        <f t="shared" si="0"/>
        <v>0.76592422674112648</v>
      </c>
    </row>
    <row r="7" spans="1:11" x14ac:dyDescent="0.2">
      <c r="A7" s="2" t="s">
        <v>16</v>
      </c>
      <c r="B7" s="3">
        <v>0.95056405501468</v>
      </c>
      <c r="C7" s="3">
        <v>0.96078431372549</v>
      </c>
      <c r="D7" s="3">
        <v>0.94965743223115795</v>
      </c>
      <c r="E7" s="3">
        <v>0.98949755984508203</v>
      </c>
      <c r="F7" s="3">
        <v>0.54151455145514504</v>
      </c>
      <c r="G7" s="3">
        <v>0.96435157545605299</v>
      </c>
      <c r="H7" s="3">
        <v>0.53842232528825296</v>
      </c>
      <c r="I7" s="3">
        <v>0.46290559638213602</v>
      </c>
      <c r="J7" s="3">
        <v>0.92032000000000003</v>
      </c>
      <c r="K7" s="3">
        <f t="shared" si="0"/>
        <v>0.80866860104422189</v>
      </c>
    </row>
    <row r="8" spans="1:11" x14ac:dyDescent="0.2">
      <c r="A8" s="8" t="s">
        <v>17</v>
      </c>
      <c r="B8" s="8"/>
      <c r="C8" s="8"/>
      <c r="D8" s="9">
        <v>0.91550491499999997</v>
      </c>
      <c r="E8" s="9">
        <v>0.997181227</v>
      </c>
      <c r="F8" s="9">
        <v>0.98640384000000003</v>
      </c>
      <c r="G8" s="9">
        <v>0.95794626900000002</v>
      </c>
      <c r="H8" s="9">
        <v>0.51027397399999996</v>
      </c>
      <c r="I8" s="9">
        <v>0.47472244200000002</v>
      </c>
      <c r="J8" s="9">
        <v>0.81785333299999996</v>
      </c>
      <c r="K8" s="9">
        <v>0.80855514299999998</v>
      </c>
    </row>
    <row r="9" spans="1:11" x14ac:dyDescent="0.2">
      <c r="A9" s="8" t="s">
        <v>18</v>
      </c>
      <c r="B9" s="8"/>
      <c r="C9" s="8"/>
      <c r="D9" s="9">
        <v>0.97435210000000005</v>
      </c>
      <c r="E9" s="9">
        <v>0.87642917399999998</v>
      </c>
      <c r="F9" s="9">
        <v>0.97354815500000003</v>
      </c>
      <c r="G9" s="9">
        <v>0.97100099500000003</v>
      </c>
      <c r="H9" s="9">
        <v>0.56092821199999998</v>
      </c>
      <c r="I9" s="9">
        <v>0.48552628599999997</v>
      </c>
      <c r="J9" s="9">
        <v>0.77734000000000003</v>
      </c>
      <c r="K9" s="9">
        <v>0.80273213200000004</v>
      </c>
    </row>
    <row r="10" spans="1:11" x14ac:dyDescent="0.2">
      <c r="A10" s="8" t="s">
        <v>19</v>
      </c>
      <c r="B10" s="8"/>
      <c r="C10" s="8"/>
      <c r="D10" s="9">
        <v>0.98871015799999995</v>
      </c>
      <c r="E10" s="9">
        <v>0.47646162199999997</v>
      </c>
      <c r="F10" s="9">
        <v>0.96926612700000003</v>
      </c>
      <c r="G10" s="9">
        <v>0.80603383100000003</v>
      </c>
      <c r="H10" s="9">
        <v>0.60550968500000002</v>
      </c>
      <c r="I10" s="9">
        <v>0.55507066100000002</v>
      </c>
      <c r="J10" s="9">
        <v>0.81003333300000002</v>
      </c>
      <c r="K10" s="9">
        <v>0.74444077399999997</v>
      </c>
    </row>
    <row r="11" spans="1:11" x14ac:dyDescent="0.2">
      <c r="A11" s="10" t="s">
        <v>20</v>
      </c>
      <c r="B11" s="10"/>
      <c r="C11" s="10"/>
      <c r="D11" s="11">
        <v>0.93769734900000001</v>
      </c>
      <c r="E11" s="11">
        <v>0.997181227</v>
      </c>
      <c r="F11" s="11">
        <v>0.98640384000000003</v>
      </c>
      <c r="G11" s="11">
        <v>0.96994759500000005</v>
      </c>
      <c r="H11" s="11">
        <v>0.53328367700000001</v>
      </c>
      <c r="I11" s="11">
        <v>0.582322216</v>
      </c>
      <c r="J11" s="11">
        <v>0.85344666700000005</v>
      </c>
      <c r="K11" s="11">
        <v>0.837183224</v>
      </c>
    </row>
    <row r="12" spans="1:11" x14ac:dyDescent="0.2">
      <c r="A12" s="10" t="s">
        <v>21</v>
      </c>
      <c r="B12" s="10"/>
      <c r="C12" s="10"/>
      <c r="D12" s="11">
        <v>0.988844206</v>
      </c>
      <c r="E12" s="11">
        <v>0.99680673200000003</v>
      </c>
      <c r="F12" s="11">
        <v>0.97354815500000003</v>
      </c>
      <c r="G12" s="11">
        <v>0.97557280300000004</v>
      </c>
      <c r="H12" s="11">
        <v>0.62235113099999995</v>
      </c>
      <c r="I12" s="11">
        <v>0.62225890299999997</v>
      </c>
      <c r="J12" s="11">
        <v>0.81194</v>
      </c>
      <c r="K12" s="11">
        <v>0.85590313299999998</v>
      </c>
    </row>
    <row r="13" spans="1:11" x14ac:dyDescent="0.2">
      <c r="A13" s="10" t="s">
        <v>22</v>
      </c>
      <c r="B13" s="10"/>
      <c r="C13" s="10"/>
      <c r="D13" s="11">
        <v>0.99033363100000005</v>
      </c>
      <c r="E13" s="11">
        <v>0.98422816300000004</v>
      </c>
      <c r="F13" s="11">
        <v>0.96926612700000003</v>
      </c>
      <c r="G13" s="11">
        <v>0.96467528999999996</v>
      </c>
      <c r="H13" s="11">
        <v>0.70612638000000005</v>
      </c>
      <c r="I13" s="11">
        <v>0.63314867200000002</v>
      </c>
      <c r="J13" s="11">
        <v>0.898373333</v>
      </c>
      <c r="K13" s="11">
        <v>0.87802165700000001</v>
      </c>
    </row>
    <row r="14" spans="1:11" x14ac:dyDescent="0.2">
      <c r="A14" s="6" t="s">
        <v>23</v>
      </c>
      <c r="B14" s="7">
        <v>0.88666357595425704</v>
      </c>
      <c r="C14" s="7">
        <v>0.98095238095238002</v>
      </c>
      <c r="D14" s="7">
        <v>0.98882931188561196</v>
      </c>
      <c r="E14" s="7">
        <v>0.99654931423516802</v>
      </c>
      <c r="F14" s="7">
        <v>0.98640324032403204</v>
      </c>
      <c r="G14" s="7">
        <v>0.96398275290215496</v>
      </c>
      <c r="H14" s="7">
        <v>0.735391516903113</v>
      </c>
      <c r="I14" s="7">
        <v>0.67148445449406402</v>
      </c>
      <c r="J14" s="7">
        <v>0.91202000000000005</v>
      </c>
      <c r="K14" s="7">
        <f t="shared" ref="K14:K19" si="1">AVERAGE(B14:J14)</f>
        <v>0.90247517196119786</v>
      </c>
    </row>
    <row r="15" spans="1:11" x14ac:dyDescent="0.2">
      <c r="A15" s="6" t="s">
        <v>24</v>
      </c>
      <c r="B15" s="7">
        <v>0.92843455416473497</v>
      </c>
      <c r="C15" s="7">
        <v>0.97983193277310898</v>
      </c>
      <c r="D15" s="7">
        <v>0.98875484063151597</v>
      </c>
      <c r="E15" s="7">
        <v>0.69224240058116304</v>
      </c>
      <c r="F15" s="7">
        <v>0.98056765676567603</v>
      </c>
      <c r="G15" s="7">
        <v>0.96154693200663299</v>
      </c>
      <c r="H15" s="7">
        <v>0.72902393345091598</v>
      </c>
      <c r="I15" s="7">
        <v>0.74828264556246404</v>
      </c>
      <c r="J15" s="7">
        <v>0.85974666666666599</v>
      </c>
      <c r="K15" s="7">
        <f t="shared" si="1"/>
        <v>0.87427017362254211</v>
      </c>
    </row>
    <row r="16" spans="1:11" x14ac:dyDescent="0.2">
      <c r="A16" s="6" t="s">
        <v>25</v>
      </c>
      <c r="B16" s="7">
        <v>0.65418018853345705</v>
      </c>
      <c r="C16" s="7">
        <v>0.93025210084033605</v>
      </c>
      <c r="D16" s="7">
        <v>0.98905272564789903</v>
      </c>
      <c r="E16" s="7">
        <v>0.53545034207540998</v>
      </c>
      <c r="F16" s="7">
        <v>0.97686288628862805</v>
      </c>
      <c r="G16" s="7">
        <v>0.95693001658374799</v>
      </c>
      <c r="H16" s="7">
        <v>0.633517627726501</v>
      </c>
      <c r="I16" s="7">
        <v>0.73306953080836601</v>
      </c>
      <c r="J16" s="7">
        <v>0.78573333333333295</v>
      </c>
      <c r="K16" s="7">
        <f t="shared" si="1"/>
        <v>0.79944986131529749</v>
      </c>
    </row>
    <row r="17" spans="1:11" x14ac:dyDescent="0.2">
      <c r="A17" s="4" t="s">
        <v>26</v>
      </c>
      <c r="B17" s="5">
        <v>0.99329315407201302</v>
      </c>
      <c r="C17" s="5">
        <v>0.98963585434173595</v>
      </c>
      <c r="D17" s="5">
        <v>0.98882931188561196</v>
      </c>
      <c r="E17" s="5">
        <v>0.99654931423516802</v>
      </c>
      <c r="F17" s="5">
        <v>0.98640324032403204</v>
      </c>
      <c r="G17" s="5">
        <v>0.969117081260364</v>
      </c>
      <c r="H17" s="5">
        <v>0.735391516903113</v>
      </c>
      <c r="I17" s="5">
        <v>0.67148445449406402</v>
      </c>
      <c r="J17" s="5">
        <v>0.91540666666666604</v>
      </c>
      <c r="K17" s="5">
        <f t="shared" si="1"/>
        <v>0.91623451046475202</v>
      </c>
    </row>
    <row r="18" spans="1:11" x14ac:dyDescent="0.2">
      <c r="A18" s="4" t="s">
        <v>27</v>
      </c>
      <c r="B18" s="5">
        <v>0.99112965538556597</v>
      </c>
      <c r="C18" s="5">
        <v>0.99103641456582603</v>
      </c>
      <c r="D18" s="5">
        <v>0.98991659219541195</v>
      </c>
      <c r="E18" s="5">
        <v>0.99716451230331105</v>
      </c>
      <c r="F18" s="5">
        <v>0.98716231623162298</v>
      </c>
      <c r="G18" s="5">
        <v>0.98158805970149199</v>
      </c>
      <c r="H18" s="5">
        <v>0.78462432262063597</v>
      </c>
      <c r="I18" s="5">
        <v>0.74828264556246404</v>
      </c>
      <c r="J18" s="5">
        <v>0.90554666666666594</v>
      </c>
      <c r="K18" s="5">
        <f t="shared" si="1"/>
        <v>0.93071679835922183</v>
      </c>
    </row>
    <row r="19" spans="1:11" x14ac:dyDescent="0.2">
      <c r="A19" s="4" t="s">
        <v>28</v>
      </c>
      <c r="B19" s="5">
        <v>0.98366558491732303</v>
      </c>
      <c r="C19" s="5">
        <v>0.99159663865546199</v>
      </c>
      <c r="D19" s="5">
        <v>0.99060172773309496</v>
      </c>
      <c r="E19" s="5">
        <v>0.99282069875787105</v>
      </c>
      <c r="F19" s="5">
        <v>0.97686288628862805</v>
      </c>
      <c r="G19" s="5">
        <v>0.97196152570480898</v>
      </c>
      <c r="H19" s="5">
        <v>0.78098821189789602</v>
      </c>
      <c r="I19" s="5">
        <v>0.74822385528547197</v>
      </c>
      <c r="J19" s="5">
        <v>0.90147999999999995</v>
      </c>
      <c r="K19" s="5">
        <f t="shared" si="1"/>
        <v>0.92646679213783956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</vt:lpstr>
      <vt:lpstr>results_new</vt:lpstr>
      <vt:lpstr>results_old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2022-10-13T12:01:04Z</dcterms:created>
  <dcterms:modified xsi:type="dcterms:W3CDTF">2022-10-19T08:41:50Z</dcterms:modified>
</cp:coreProperties>
</file>